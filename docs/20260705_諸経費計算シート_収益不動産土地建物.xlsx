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諸経費計算" sheetId="1" state="visible" r:id="rId1"/>
    <sheet name="計算式の解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666666"/>
      <sz val="9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5" fillId="3" borderId="1" pivotButton="0" quotePrefix="0" xfId="0"/>
    <xf numFmtId="0" fontId="2" fillId="0" borderId="1" pivotButton="0" quotePrefix="0" xfId="0"/>
    <xf numFmtId="1" fontId="5" fillId="3" borderId="1" pivotButton="0" quotePrefix="0" xfId="0"/>
    <xf numFmtId="10" fontId="5" fillId="3" borderId="1" pivotButton="0" quotePrefix="0" xfId="0"/>
    <xf numFmtId="2" fontId="5" fillId="3" borderId="1" pivotButton="0" quotePrefix="0" xfId="0"/>
    <xf numFmtId="10" fontId="4" fillId="3" borderId="1" pivotButton="0" quotePrefix="0" xfId="0"/>
    <xf numFmtId="164" fontId="4" fillId="3" borderId="1" pivotButton="0" quotePrefix="0" xfId="0"/>
    <xf numFmtId="164" fontId="4" fillId="4" borderId="1" pivotButton="0" quotePrefix="0" xfId="0"/>
    <xf numFmtId="0" fontId="5" fillId="0" borderId="1" pivotButton="0" quotePrefix="0" xfId="0"/>
    <xf numFmtId="164" fontId="5" fillId="5" borderId="1" pivotButton="0" quotePrefix="0" xfId="0"/>
    <xf numFmtId="10" fontId="5" fillId="5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6" customWidth="1" min="3" max="3"/>
    <col width="14" customWidth="1" min="4" max="4"/>
  </cols>
  <sheetData>
    <row r="1">
      <c r="A1" s="1" t="inlineStr">
        <is>
          <t>収益不動産 諸経費計算シート（土地・建物）</t>
        </is>
      </c>
    </row>
    <row r="2">
      <c r="A2" s="2" t="inlineStr">
        <is>
          <t>黄色セル＝入力 / 水色セル＝自動計算 / 緑セル＝合計　※税率・軽減措置の期限は最新の税制を要確認</t>
        </is>
      </c>
    </row>
    <row r="4">
      <c r="A4" s="3" t="inlineStr">
        <is>
          <t>【1】入力項目</t>
        </is>
      </c>
      <c r="B4" s="3" t="inlineStr"/>
      <c r="C4" s="3" t="inlineStr">
        <is>
          <t>備考</t>
        </is>
      </c>
    </row>
    <row r="5">
      <c r="A5" s="4" t="inlineStr">
        <is>
          <t>物件価格（税込・売買総額）</t>
        </is>
      </c>
      <c r="B5" s="5" t="n">
        <v>50000000</v>
      </c>
      <c r="C5" s="6" t="inlineStr">
        <is>
          <t>売買契約の総額</t>
        </is>
      </c>
    </row>
    <row r="6">
      <c r="A6" s="4" t="inlineStr">
        <is>
          <t>土地の固定資産税評価額</t>
        </is>
      </c>
      <c r="B6" s="5" t="n">
        <v>14000000</v>
      </c>
      <c r="C6" s="6" t="inlineStr">
        <is>
          <t>評価証明書。不明時の概算＝物件価格×40%×70%</t>
        </is>
      </c>
    </row>
    <row r="7">
      <c r="A7" s="4" t="inlineStr">
        <is>
          <t>建物の固定資産税評価額</t>
        </is>
      </c>
      <c r="B7" s="5" t="n">
        <v>15000000</v>
      </c>
      <c r="C7" s="6" t="inlineStr">
        <is>
          <t>評価証明書。不明時の概算＝物件価格×60%×50%</t>
        </is>
      </c>
    </row>
    <row r="8">
      <c r="A8" s="4" t="inlineStr">
        <is>
          <t>借入額</t>
        </is>
      </c>
      <c r="B8" s="5" t="n">
        <v>50000000</v>
      </c>
      <c r="C8" s="6" t="inlineStr">
        <is>
          <t>フルローン＝物件価格と同額 / オーバーローンは諸経費分上乗せ</t>
        </is>
      </c>
    </row>
    <row r="9">
      <c r="A9" s="4" t="inlineStr">
        <is>
          <t>建物用途（住宅=1 / 非住宅=0）</t>
        </is>
      </c>
      <c r="B9" s="7" t="n">
        <v>1</v>
      </c>
      <c r="C9" s="6" t="inlineStr">
        <is>
          <t>アパート・マンション＝1、店舗・事務所＝0</t>
        </is>
      </c>
    </row>
    <row r="10">
      <c r="A10" s="4" t="inlineStr">
        <is>
          <t>融資事務手数料（定率 借入×）</t>
        </is>
      </c>
      <c r="B10" s="8" t="n">
        <v>0.022</v>
      </c>
      <c r="C10" s="6" t="inlineStr">
        <is>
          <t>定率型の場合の率（税込2.2%が一般的）。定額型なら0にして下行へ</t>
        </is>
      </c>
    </row>
    <row r="11">
      <c r="A11" s="4" t="inlineStr">
        <is>
          <t>融資事務手数料（定額）</t>
        </is>
      </c>
      <c r="B11" s="5" t="n">
        <v>0</v>
      </c>
      <c r="C11" s="6" t="inlineStr">
        <is>
          <t>定額型の場合の金額（例55,000〜110,000円）</t>
        </is>
      </c>
    </row>
    <row r="12">
      <c r="A12" s="4" t="inlineStr">
        <is>
          <t>司法書士報酬（概算）</t>
        </is>
      </c>
      <c r="B12" s="5" t="n">
        <v>120000</v>
      </c>
      <c r="C12" s="6" t="inlineStr">
        <is>
          <t>所有権移転＋抵当権設定の報酬。10〜15万円が目安</t>
        </is>
      </c>
    </row>
    <row r="13">
      <c r="A13" s="4" t="inlineStr">
        <is>
          <t>火災保険・地震保険（概算）</t>
        </is>
      </c>
      <c r="B13" s="5" t="n">
        <v>500000</v>
      </c>
      <c r="C13" s="6" t="inlineStr">
        <is>
          <t>構造・規模による。木造AP5年一括で30〜80万円目安。要見積</t>
        </is>
      </c>
    </row>
    <row r="14">
      <c r="A14" s="4" t="inlineStr">
        <is>
          <t>固定資産税・都市計画税の年税額</t>
        </is>
      </c>
      <c r="B14" s="5" t="n">
        <v>180000</v>
      </c>
      <c r="C14" s="6" t="inlineStr">
        <is>
          <t>公課証明書。不明時の概算＝(土地評価額/6＋建物評価額)×1.7%</t>
        </is>
      </c>
    </row>
    <row r="15">
      <c r="A15" s="4" t="inlineStr">
        <is>
          <t>固都税精算の日割り割合</t>
        </is>
      </c>
      <c r="B15" s="9" t="n">
        <v>0.5</v>
      </c>
      <c r="C15" s="6" t="inlineStr">
        <is>
          <t>引渡日〜12/31の日数÷365（関東は1/1起算が慣例）</t>
        </is>
      </c>
    </row>
    <row r="17">
      <c r="A17" s="3" t="inlineStr">
        <is>
          <t>【2】税率パラメータ（変更可）</t>
        </is>
      </c>
      <c r="B17" s="3" t="inlineStr"/>
      <c r="C17" s="3" t="inlineStr"/>
    </row>
    <row r="18">
      <c r="A18" s="4" t="inlineStr">
        <is>
          <t>仲介手数料率</t>
        </is>
      </c>
      <c r="B18" s="10" t="n">
        <v>0.03</v>
      </c>
      <c r="C18" s="6" t="inlineStr">
        <is>
          <t>速算式（400万円超）: 価格×3%＋6万円</t>
        </is>
      </c>
    </row>
    <row r="19">
      <c r="A19" s="4" t="inlineStr">
        <is>
          <t>仲介手数料 加算額</t>
        </is>
      </c>
      <c r="B19" s="11" t="n">
        <v>60000</v>
      </c>
      <c r="C19" s="6" t="inlineStr">
        <is>
          <t>速算式の加算額</t>
        </is>
      </c>
    </row>
    <row r="20">
      <c r="A20" s="4" t="inlineStr">
        <is>
          <t>消費税率</t>
        </is>
      </c>
      <c r="B20" s="10" t="n">
        <v>0.1</v>
      </c>
      <c r="C20" s="6" t="inlineStr">
        <is>
          <t>仲介手数料に課税</t>
        </is>
      </c>
    </row>
    <row r="21">
      <c r="A21" s="4" t="inlineStr">
        <is>
          <t>登録免許税率（土地・移転）</t>
        </is>
      </c>
      <c r="B21" s="10" t="n">
        <v>0.015</v>
      </c>
      <c r="C21" s="6" t="inlineStr">
        <is>
          <t>軽減税率1.5%（本則2.0%。期限は延長慣例だが要確認）</t>
        </is>
      </c>
    </row>
    <row r="22">
      <c r="A22" s="4" t="inlineStr">
        <is>
          <t>登録免許税率（建物・移転）</t>
        </is>
      </c>
      <c r="B22" s="10" t="n">
        <v>0.02</v>
      </c>
      <c r="C22" s="6" t="inlineStr">
        <is>
          <t>中古収益物件は住宅用家屋軽減の対象外＝本則2.0%</t>
        </is>
      </c>
    </row>
    <row r="23">
      <c r="A23" s="4" t="inlineStr">
        <is>
          <t>登録免許税率（抵当権設定）</t>
        </is>
      </c>
      <c r="B23" s="10" t="n">
        <v>0.004</v>
      </c>
      <c r="C23" s="6" t="inlineStr">
        <is>
          <t>借入額×0.4%</t>
        </is>
      </c>
    </row>
    <row r="24">
      <c r="A24" s="4" t="inlineStr">
        <is>
          <t>不動産取得税率（土地）</t>
        </is>
      </c>
      <c r="B24" s="10" t="n">
        <v>0.03</v>
      </c>
      <c r="C24" s="6" t="inlineStr">
        <is>
          <t>宅地は課税標準×1/2の特例＋税率3%（〜2027/3/31）</t>
        </is>
      </c>
    </row>
    <row r="25">
      <c r="A25" s="4" t="inlineStr">
        <is>
          <t>不動産取得税率（建物・住宅）</t>
        </is>
      </c>
      <c r="B25" s="10" t="n">
        <v>0.03</v>
      </c>
      <c r="C25" s="6" t="inlineStr">
        <is>
          <t>住宅3% / 非住宅4%（〜2027/3/31）</t>
        </is>
      </c>
    </row>
    <row r="26">
      <c r="A26" s="4" t="inlineStr">
        <is>
          <t>不動産取得税率（建物・非住宅）</t>
        </is>
      </c>
      <c r="B26" s="10" t="n">
        <v>0.04</v>
      </c>
      <c r="C26" s="6" t="inlineStr">
        <is>
          <t>店舗・事務所等</t>
        </is>
      </c>
    </row>
    <row r="28">
      <c r="A28" s="3" t="inlineStr">
        <is>
          <t>【3】諸経費 内訳計算</t>
        </is>
      </c>
      <c r="B28" s="3" t="inlineStr">
        <is>
          <t>金額</t>
        </is>
      </c>
      <c r="C28" s="3" t="inlineStr">
        <is>
          <t>計算式</t>
        </is>
      </c>
    </row>
    <row r="29">
      <c r="A29" s="4" t="inlineStr">
        <is>
          <t>① 仲介手数料（税込）</t>
        </is>
      </c>
      <c r="B29" s="12">
        <f>ROUNDDOWN((B5*B18+B19)*(1+B20),0)</f>
        <v/>
      </c>
      <c r="C29" s="6" t="inlineStr">
        <is>
          <t>（物件価格×3%＋6万円）×1.10</t>
        </is>
      </c>
    </row>
    <row r="30">
      <c r="A30" s="4" t="inlineStr">
        <is>
          <t>② 印紙税（売買契約書・軽減後）</t>
        </is>
      </c>
      <c r="B30" s="12">
        <f>IF(B5&lt;=10000000,5000,IF(B5&lt;=50000000,10000,IF(B5&lt;=100000000,30000,60000)))</f>
        <v/>
      </c>
      <c r="C30" s="6" t="inlineStr">
        <is>
          <t>1千万超〜5千万:1万 / 5千万超〜1億:3万 / 1億超〜5億:6万</t>
        </is>
      </c>
    </row>
    <row r="31">
      <c r="A31" s="4" t="inlineStr">
        <is>
          <t>③ 印紙税（金銭消費貸借契約書）</t>
        </is>
      </c>
      <c r="B31" s="12">
        <f>IF(B8=0,0,IF(B8&lt;=10000000,10000,IF(B8&lt;=50000000,20000,IF(B8&lt;=100000000,60000,100000))))</f>
        <v/>
      </c>
      <c r="C31" s="6" t="inlineStr">
        <is>
          <t>軽減なし。電子契約なら0円に手修正</t>
        </is>
      </c>
    </row>
    <row r="32">
      <c r="A32" s="4" t="inlineStr">
        <is>
          <t>④ 登録免許税（土地・所有権移転）</t>
        </is>
      </c>
      <c r="B32" s="12">
        <f>ROUNDDOWN(B6*B21,0)</f>
        <v/>
      </c>
      <c r="C32" s="6" t="inlineStr">
        <is>
          <t>土地評価額×1.5%（軽減）</t>
        </is>
      </c>
    </row>
    <row r="33">
      <c r="A33" s="4" t="inlineStr">
        <is>
          <t>⑤ 登録免許税（建物・所有権移転）</t>
        </is>
      </c>
      <c r="B33" s="12">
        <f>ROUNDDOWN(B7*B22,0)</f>
        <v/>
      </c>
      <c r="C33" s="6" t="inlineStr">
        <is>
          <t>建物評価額×2.0%</t>
        </is>
      </c>
    </row>
    <row r="34">
      <c r="A34" s="4" t="inlineStr">
        <is>
          <t>⑥ 登録免許税（抵当権設定）</t>
        </is>
      </c>
      <c r="B34" s="12">
        <f>ROUNDDOWN(B8*B23,0)</f>
        <v/>
      </c>
      <c r="C34" s="6" t="inlineStr">
        <is>
          <t>借入額×0.4%</t>
        </is>
      </c>
    </row>
    <row r="35">
      <c r="A35" s="4" t="inlineStr">
        <is>
          <t>⑦ 司法書士報酬</t>
        </is>
      </c>
      <c r="B35" s="12">
        <f>B12</f>
        <v/>
      </c>
      <c r="C35" s="6" t="inlineStr">
        <is>
          <t>入力値をそのまま計上</t>
        </is>
      </c>
    </row>
    <row r="36">
      <c r="A36" s="4" t="inlineStr">
        <is>
          <t>⑧ 不動産取得税（土地）</t>
        </is>
      </c>
      <c r="B36" s="12">
        <f>ROUNDDOWN(B6*1/2*B24,0)</f>
        <v/>
      </c>
      <c r="C36" s="6" t="inlineStr">
        <is>
          <t>土地評価額×1/2×3%（宅地特例）※取得後3〜6ヶ月後に納付</t>
        </is>
      </c>
    </row>
    <row r="37">
      <c r="A37" s="4" t="inlineStr">
        <is>
          <t>⑨ 不動産取得税（建物）</t>
        </is>
      </c>
      <c r="B37" s="12">
        <f>ROUNDDOWN(B7*IF(B9=1,B25,B26),0)</f>
        <v/>
      </c>
      <c r="C37" s="6" t="inlineStr">
        <is>
          <t>建物評価額×3%（住宅）/ 4%（非住宅）※同上</t>
        </is>
      </c>
    </row>
    <row r="38">
      <c r="A38" s="4" t="inlineStr">
        <is>
          <t>⑩ 融資事務手数料</t>
        </is>
      </c>
      <c r="B38" s="12">
        <f>ROUNDDOWN(B8*B10,0)+B11</f>
        <v/>
      </c>
      <c r="C38" s="6" t="inlineStr">
        <is>
          <t>定率（借入×率）＋定額の合計。どちらか使わない方は0</t>
        </is>
      </c>
    </row>
    <row r="39">
      <c r="A39" s="4" t="inlineStr">
        <is>
          <t>⑪ 火災保険・地震保険</t>
        </is>
      </c>
      <c r="B39" s="12">
        <f>B13</f>
        <v/>
      </c>
      <c r="C39" s="6" t="inlineStr">
        <is>
          <t>入力値をそのまま計上</t>
        </is>
      </c>
    </row>
    <row r="40">
      <c r="A40" s="4" t="inlineStr">
        <is>
          <t>⑫ 固定資産税・都市計画税 精算金</t>
        </is>
      </c>
      <c r="B40" s="12">
        <f>ROUNDDOWN(B14*B15,0)</f>
        <v/>
      </c>
      <c r="C40" s="6" t="inlineStr">
        <is>
          <t>年税額×日割り割合</t>
        </is>
      </c>
    </row>
    <row r="42">
      <c r="A42" s="3" t="inlineStr">
        <is>
          <t>【4】結果サマリー</t>
        </is>
      </c>
      <c r="B42" s="3" t="inlineStr"/>
      <c r="C42" s="3" t="inlineStr"/>
    </row>
    <row r="43">
      <c r="A43" s="13" t="inlineStr">
        <is>
          <t>諸経費 合計</t>
        </is>
      </c>
      <c r="B43" s="14">
        <f>SUM(B29:B40)</f>
        <v/>
      </c>
      <c r="C43" s="6" t="inlineStr">
        <is>
          <t>①〜⑫の合計</t>
        </is>
      </c>
    </row>
    <row r="44">
      <c r="A44" s="13" t="inlineStr">
        <is>
          <t>対物件価格 比率</t>
        </is>
      </c>
      <c r="B44" s="15">
        <f>B43/B5</f>
        <v/>
      </c>
      <c r="C44" s="6" t="inlineStr">
        <is>
          <t>社内基準8%と比較</t>
        </is>
      </c>
    </row>
    <row r="45">
      <c r="A45" s="13" t="inlineStr">
        <is>
          <t>8%概算との差額</t>
        </is>
      </c>
      <c r="B45" s="14">
        <f>B43-B5*0.08</f>
        <v/>
      </c>
      <c r="C45" s="6" t="inlineStr">
        <is>
          <t>プラス＝概算超過（要注意）/ マイナス＝概算内</t>
        </is>
      </c>
    </row>
    <row r="46">
      <c r="A46" s="13" t="inlineStr">
        <is>
          <t>総投資額（物件価格＋諸経費）</t>
        </is>
      </c>
      <c r="B46" s="14">
        <f>B5+B43</f>
        <v/>
      </c>
      <c r="C46" s="6" t="inlineStr"/>
    </row>
    <row r="47">
      <c r="A47" s="13" t="inlineStr">
        <is>
          <t>フルローン時の自己資金所要額</t>
        </is>
      </c>
      <c r="B47" s="14">
        <f>B5+B43-B8</f>
        <v/>
      </c>
      <c r="C47" s="6" t="inlineStr">
        <is>
          <t>借入で賄えない分。BROZERO等の充当検討額</t>
        </is>
      </c>
    </row>
    <row r="48">
      <c r="A48" s="13" t="inlineStr">
        <is>
          <t>うち購入後の後払い分（不動産取得税）</t>
        </is>
      </c>
      <c r="B48" s="14">
        <f>B36+B37</f>
        <v/>
      </c>
      <c r="C48" s="6" t="inlineStr">
        <is>
          <t>取得後3〜6ヶ月後に納付。CF計画に組込むこと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60" customWidth="1" min="3" max="3"/>
  </cols>
  <sheetData>
    <row r="1">
      <c r="A1" s="1" t="inlineStr">
        <is>
          <t>諸経費 計算式の解説</t>
        </is>
      </c>
    </row>
    <row r="3">
      <c r="A3" s="3" t="inlineStr">
        <is>
          <t>項目</t>
        </is>
      </c>
      <c r="B3" s="3" t="inlineStr">
        <is>
          <t>計算式</t>
        </is>
      </c>
      <c r="C3" s="3" t="inlineStr">
        <is>
          <t>解説・注意点</t>
        </is>
      </c>
    </row>
    <row r="4">
      <c r="A4" s="16" t="inlineStr">
        <is>
          <t>① 仲介手数料</t>
        </is>
      </c>
      <c r="B4" s="16" t="inlineStr">
        <is>
          <t>（物件価格×3%＋60,000円）×1.10</t>
        </is>
      </c>
      <c r="C4" s="16" t="inlineStr">
        <is>
          <t>400万円超の速算式。消費税10%込み。</t>
        </is>
      </c>
    </row>
    <row r="5">
      <c r="A5" s="16" t="inlineStr">
        <is>
          <t>② 印紙税（売買契約書）</t>
        </is>
      </c>
      <c r="B5" s="16" t="inlineStr">
        <is>
          <t>価格帯による定額（軽減税率）</t>
        </is>
      </c>
      <c r="C5" s="16" t="inlineStr">
        <is>
          <t>1千万超〜5千万以下:1万円 / 5千万超〜1億以下:3万円。軽減は2027/3/31まで（延長慣例）。</t>
        </is>
      </c>
    </row>
    <row r="6">
      <c r="A6" s="16" t="inlineStr">
        <is>
          <t>③ 印紙税（金消契約書）</t>
        </is>
      </c>
      <c r="B6" s="16" t="inlineStr">
        <is>
          <t>借入額帯による定額（軽減なし）</t>
        </is>
      </c>
      <c r="C6" s="16" t="inlineStr">
        <is>
          <t>1千万超〜5千万以下:2万円 / 5千万超〜1億以下:6万円。電子契約なら不課税。</t>
        </is>
      </c>
    </row>
    <row r="7">
      <c r="A7" s="16" t="inlineStr">
        <is>
          <t>④ 登録免許税（土地）</t>
        </is>
      </c>
      <c r="B7" s="16" t="inlineStr">
        <is>
          <t>土地固定資産税評価額×1.5%</t>
        </is>
      </c>
      <c r="C7" s="16" t="inlineStr">
        <is>
          <t>軽減税率（本則2.0%）。適用期限は税制改正で延長が慣例だが最新を要確認。</t>
        </is>
      </c>
    </row>
    <row r="8">
      <c r="A8" s="16" t="inlineStr">
        <is>
          <t>⑤ 登録免許税（建物）</t>
        </is>
      </c>
      <c r="B8" s="16" t="inlineStr">
        <is>
          <t>建物固定資産税評価額×2.0%</t>
        </is>
      </c>
      <c r="C8" s="16" t="inlineStr">
        <is>
          <t>中古収益物件（賃貸用）は住宅用家屋の軽減対象外のため本則。</t>
        </is>
      </c>
    </row>
    <row r="9">
      <c r="A9" s="16" t="inlineStr">
        <is>
          <t>⑥ 登録免許税（抵当権）</t>
        </is>
      </c>
      <c r="B9" s="16" t="inlineStr">
        <is>
          <t>借入額×0.4%</t>
        </is>
      </c>
      <c r="C9" s="16" t="inlineStr">
        <is>
          <t>抵当権設定登記。</t>
        </is>
      </c>
    </row>
    <row r="10">
      <c r="A10" s="16" t="inlineStr">
        <is>
          <t>⑦ 司法書士報酬</t>
        </is>
      </c>
      <c r="B10" s="16" t="inlineStr">
        <is>
          <t>実費見積（概算10〜15万円）</t>
        </is>
      </c>
      <c r="C10" s="16" t="inlineStr">
        <is>
          <t>移転・設定登記の代行報酬。</t>
        </is>
      </c>
    </row>
    <row r="11">
      <c r="A11" s="16" t="inlineStr">
        <is>
          <t>⑧ 不動産取得税（土地）</t>
        </is>
      </c>
      <c r="B11" s="16" t="inlineStr">
        <is>
          <t>土地評価額×1/2×3%</t>
        </is>
      </c>
      <c r="C11" s="16" t="inlineStr">
        <is>
          <t>宅地の課税標準1/2特例＋軽減税率3%（〜2027/3/31）。取得後3〜6ヶ月後に納付書が届く。</t>
        </is>
      </c>
    </row>
    <row r="12">
      <c r="A12" s="16" t="inlineStr">
        <is>
          <t>⑨ 不動産取得税（建物）</t>
        </is>
      </c>
      <c r="B12" s="16" t="inlineStr">
        <is>
          <t>建物評価額×3%（住宅）/4%（非住宅）</t>
        </is>
      </c>
      <c r="C12" s="16" t="inlineStr">
        <is>
          <t>賃貸アパート・マンションは「住宅」扱いで3%。</t>
        </is>
      </c>
    </row>
    <row r="13">
      <c r="A13" s="16" t="inlineStr">
        <is>
          <t>⑩ 融資事務手数料</t>
        </is>
      </c>
      <c r="B13" s="16" t="inlineStr">
        <is>
          <t>借入額×2.2% または 定額</t>
        </is>
      </c>
      <c r="C13" s="16" t="inlineStr">
        <is>
          <t>銀行により定率型/定額型が異なる。滋賀銀行等は個別確認。</t>
        </is>
      </c>
    </row>
    <row r="14">
      <c r="A14" s="16" t="inlineStr">
        <is>
          <t>⑪ 火災・地震保険</t>
        </is>
      </c>
      <c r="B14" s="16" t="inlineStr">
        <is>
          <t>見積額</t>
        </is>
      </c>
      <c r="C14" s="16" t="inlineStr">
        <is>
          <t>構造（W/S/RC）・面積・水災補償の有無で大きく変動。ハザード該当物件は水災補償必須。</t>
        </is>
      </c>
    </row>
    <row r="15">
      <c r="A15" s="16" t="inlineStr">
        <is>
          <t>⑫ 固都税精算金</t>
        </is>
      </c>
      <c r="B15" s="16" t="inlineStr">
        <is>
          <t>年税額×（引渡日〜12/31の日数÷365）</t>
        </is>
      </c>
      <c r="C15" s="16" t="inlineStr">
        <is>
          <t>売主が納税済みの固定資産税・都市計画税を日割精算。関東は1/1起算が慣例。</t>
        </is>
      </c>
    </row>
    <row r="16">
      <c r="A16" s="16" t="inlineStr">
        <is>
          <t>評価額の概算（参考）</t>
        </is>
      </c>
      <c r="B16" s="16" t="inlineStr">
        <is>
          <t>土地＝価格×40%×70% / 建物＝価格×60%×50%</t>
        </is>
      </c>
      <c r="C16" s="16" t="inlineStr">
        <is>
          <t>評価証明書が未入手の場合の目安。実額入手後に必ず差し替えること。</t>
        </is>
      </c>
    </row>
    <row r="17">
      <c r="A17" s="16" t="inlineStr">
        <is>
          <t>社内基準との関係</t>
        </is>
      </c>
      <c r="B17" s="16" t="inlineStr">
        <is>
          <t>諸経費≒物件価格×8%で試算</t>
        </is>
      </c>
      <c r="C17" s="16" t="inlineStr">
        <is>
          <t>本シートの実額合計が8%を超える場合は要注意として社長へ報告。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2026-07-05T07:27:31Z</dcterms:created>
  <dcterms:modified xsi:type="dcterms:W3CDTF">2026-07-05T07:27:31Z</dcterms:modified>
</cp:coreProperties>
</file>